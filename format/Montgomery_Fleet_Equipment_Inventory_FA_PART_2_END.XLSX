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bilay\Desktop\"/>
    </mc:Choice>
  </mc:AlternateContent>
  <xr:revisionPtr revIDLastSave="0" documentId="8_{5E6FEBBA-56F5-4066-BF71-9707738887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gomery_Fleet_Equipment_Inve" sheetId="1" r:id="rId1"/>
    <sheet name="Pivot_Table" sheetId="2" r:id="rId2"/>
    <sheet name="Pivot_Table_2" sheetId="3" r:id="rId3"/>
    <sheet name="Pivot_Table_3" sheetId="4" r:id="rId4"/>
  </sheets>
  <definedNames>
    <definedName name="_xlnm._FilterDatabase" localSheetId="0" hidden="1">Montgomery_Fleet_Equipment_Inve!$A$1:$C$50</definedName>
  </definedNames>
  <calcPr calcId="191029"/>
  <pivotCaches>
    <pivotCache cacheId="5" r:id="rId5"/>
  </pivotCaches>
</workbook>
</file>

<file path=xl/calcChain.xml><?xml version="1.0" encoding="utf-8"?>
<calcChain xmlns="http://schemas.openxmlformats.org/spreadsheetml/2006/main">
  <c r="J2" i="1" l="1"/>
  <c r="I2" i="1"/>
  <c r="H2" i="1"/>
  <c r="G2" i="1"/>
  <c r="F2" i="1"/>
</calcChain>
</file>

<file path=xl/sharedStrings.xml><?xml version="1.0" encoding="utf-8"?>
<sst xmlns="http://schemas.openxmlformats.org/spreadsheetml/2006/main" count="165" uniqueCount="37">
  <si>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</si>
  <si>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</si>
  <si>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</si>
  <si>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</si>
  <si>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</si>
  <si>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</si>
  <si>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</si>
  <si>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</si>
  <si>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</si>
  <si>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</si>
  <si>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</si>
  <si>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</si>
  <si>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</si>
  <si>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</si>
  <si>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</si>
  <si>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</si>
  <si>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</si>
  <si>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</si>
  <si>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</si>
  <si>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</si>
  <si>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</si>
  <si>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</si>
  <si>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</si>
  <si>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</si>
  <si>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</si>
  <si>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</si>
  <si>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</si>
  <si>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</si>
  <si>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</si>
  <si>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</si>
  <si>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AVG</t>
  </si>
  <si>
    <t>MIN</t>
  </si>
  <si>
    <t>MAX</t>
  </si>
  <si>
    <t>COUNT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</si>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</sst>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11">
    <xf numFmtId="0" fontId="0" fillId="0" borderId="0" xfId="0"/>
    <xf numFmtId="0" fontId="7" fillId="2" borderId="0" xfId="6"/>
    <xf numFmtId="0" fontId="1" fillId="2" borderId="0" xfId="6" applyFont="1"/>
    <xf numFmtId="0" fontId="19" fillId="2" borderId="0" xfId="6" applyFont="1"/>
    <xf numFmtId="0" fontId="19" fillId="0" borderId="0" xfId="0" applyFont="1"/>
    <xf numFmtId="2" fontId="19" fillId="2" borderId="0" xfId="6" applyNumberFormat="1" applyFon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bilay" refreshedDate="45552.640093055554" createdVersion="7" refreshedVersion="7" minRefreshableVersion="3" recordCount="49" xr:uid="{CF318DE5-2599-40FD-922D-6A286A62E73B}">
  <cacheSource type="worksheet">
    <worksheetSource name="Table2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2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EA7E2B-4F50-4564-A6CC-BAA6F8591AC6}" name="PivotTable1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2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formats count="2">
    <format dxfId="4">
      <pivotArea outline="0" collapsedLevelsAreSubtotals="1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912647-083B-4FDA-9E02-F1DEE447C5E6}" name="PivotTable2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25" firstHeaderRow="1" firstDataRow="1" firstDataCol="1"/>
  <pivotFields count="3">
    <pivotField axis="axisRow" showAll="0" sortType="descending">
      <items count="13">
        <item x="11"/>
        <item sd="0" x="10"/>
        <item sd="0" x="9"/>
        <item sd="0" x="8"/>
        <item sd="0" x="7"/>
        <item sd="0" x="6"/>
        <item sd="0" x="5"/>
        <item sd="0" x="4"/>
        <item sd="0" x="3"/>
        <item sd="0" x="2"/>
        <item sd="0" x="1"/>
        <item sd="0" x="0"/>
        <item t="default"/>
      </items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numFmtId="2" showAll="0"/>
  </pivotFields>
  <rowFields count="2">
    <field x="0"/>
    <field x="1"/>
  </rowFields>
  <rowItems count="22">
    <i>
      <x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D5F096-B63C-4842-9393-613D8728171A}" name="Pivot_Table_3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21" firstHeaderRow="1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numFmtId="2" showAll="0"/>
  </pivotFields>
  <rowFields count="2">
    <field x="1"/>
    <field x="0"/>
  </rowFields>
  <rowItems count="18">
    <i>
      <x/>
    </i>
    <i r="1">
      <x v="5"/>
    </i>
    <i r="1">
      <x v="10"/>
    </i>
    <i r="1">
      <x v="11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BA8611-163C-41FE-826B-9C47651F19C1}" name="Table2" displayName="Table2" ref="A1:C50" totalsRowShown="0">
  <autoFilter ref="A1:C50" xr:uid="{BFBA8611-163C-41FE-826B-9C47651F19C1}"/>
  <tableColumns count="3">
    <tableColumn id="1" xr3:uid="{FB945449-21A8-48ED-95C6-4B687E9A4656}" name="Department"/>
    <tableColumn id="2" xr3:uid="{4096DB61-552A-4189-BE61-1D084B5E0D4C}" name="Equipment Class"/>
    <tableColumn id="3" xr3:uid="{3149BE44-6393-4813-8093-C9D8137FAFA5}" name="Equipment Count" dataDxfId="17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workbookViewId="0">
      <selection activeCell="G16" sqref="G16"/>
    </sheetView>
  </sheetViews>
  <sheetFormatPr defaultRowHeight="14.4" x14ac:dyDescent="0.3"/>
  <cols>
    <col min="1" max="1" width="29.44140625" bestFit="1" customWidth="1"/>
    <col min="2" max="2" width="26.109375" bestFit="1" customWidth="1"/>
    <col min="3" max="3" width="17.6640625" style="6" customWidth="1"/>
  </cols>
  <sheetData>
    <row r="1" spans="1:10" s="1" customFormat="1" x14ac:dyDescent="0.3">
      <c r="A1" s="2" t="s">
        <v>0</v>
      </c>
      <c r="B1" s="3" t="s">
        <v>1</v>
      </c>
      <c r="C1" s="5" t="s">
        <v>2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</row>
    <row r="2" spans="1:10" x14ac:dyDescent="0.3">
      <c r="A2" t="s">
        <v>5</v>
      </c>
      <c r="B2" t="s">
        <v>6</v>
      </c>
      <c r="C2" s="6">
        <v>21</v>
      </c>
      <c r="F2" s="4">
        <f>SUM(Table2[Equipment Count])</f>
        <v>1582</v>
      </c>
      <c r="G2" s="4">
        <f>AVERAGE(Table2[Equipment Count])</f>
        <v>32.285714285714285</v>
      </c>
      <c r="H2" s="4">
        <f>MIN(Table2[Equipment Count])</f>
        <v>1</v>
      </c>
      <c r="I2" s="4">
        <f>MAX(Table2[Equipment Count])</f>
        <v>379</v>
      </c>
      <c r="J2" s="4">
        <f>COUNT(Table2[Equipment Count])</f>
        <v>49</v>
      </c>
    </row>
    <row r="3" spans="1:10" x14ac:dyDescent="0.3">
      <c r="A3" t="s">
        <v>5</v>
      </c>
      <c r="B3" t="s">
        <v>7</v>
      </c>
      <c r="C3" s="6">
        <v>1</v>
      </c>
    </row>
    <row r="4" spans="1:10" x14ac:dyDescent="0.3">
      <c r="A4" t="s">
        <v>5</v>
      </c>
      <c r="B4" t="s">
        <v>4</v>
      </c>
      <c r="C4" s="6">
        <v>23</v>
      </c>
    </row>
    <row r="5" spans="1:10" x14ac:dyDescent="0.3">
      <c r="A5" t="s">
        <v>8</v>
      </c>
      <c r="B5" t="s">
        <v>4</v>
      </c>
      <c r="C5" s="6">
        <v>2</v>
      </c>
    </row>
    <row r="6" spans="1:10" x14ac:dyDescent="0.3">
      <c r="A6" t="s">
        <v>9</v>
      </c>
      <c r="B6" t="s">
        <v>6</v>
      </c>
      <c r="C6" s="6">
        <v>3</v>
      </c>
    </row>
    <row r="7" spans="1:10" x14ac:dyDescent="0.3">
      <c r="A7" t="s">
        <v>9</v>
      </c>
      <c r="B7" t="s">
        <v>10</v>
      </c>
      <c r="C7" s="6">
        <v>2</v>
      </c>
    </row>
    <row r="8" spans="1:10" x14ac:dyDescent="0.3">
      <c r="A8" t="s">
        <v>9</v>
      </c>
      <c r="B8" t="s">
        <v>11</v>
      </c>
      <c r="C8" s="6">
        <v>1</v>
      </c>
    </row>
    <row r="9" spans="1:10" x14ac:dyDescent="0.3">
      <c r="A9" t="s">
        <v>12</v>
      </c>
      <c r="B9" t="s">
        <v>10</v>
      </c>
      <c r="C9" s="6">
        <v>2</v>
      </c>
    </row>
    <row r="10" spans="1:10" x14ac:dyDescent="0.3">
      <c r="A10" t="s">
        <v>12</v>
      </c>
      <c r="B10" t="s">
        <v>13</v>
      </c>
      <c r="C10" s="6">
        <v>42</v>
      </c>
    </row>
    <row r="11" spans="1:10" x14ac:dyDescent="0.3">
      <c r="A11" t="s">
        <v>12</v>
      </c>
      <c r="B11" t="s">
        <v>7</v>
      </c>
      <c r="C11" s="6">
        <v>1</v>
      </c>
    </row>
    <row r="12" spans="1:10" x14ac:dyDescent="0.3">
      <c r="A12" t="s">
        <v>12</v>
      </c>
      <c r="B12" t="s">
        <v>4</v>
      </c>
      <c r="C12" s="6">
        <v>11</v>
      </c>
    </row>
    <row r="13" spans="1:10" x14ac:dyDescent="0.3">
      <c r="A13" t="s">
        <v>14</v>
      </c>
      <c r="B13" t="s">
        <v>7</v>
      </c>
      <c r="C13" s="6">
        <v>1</v>
      </c>
    </row>
    <row r="14" spans="1:10" x14ac:dyDescent="0.3">
      <c r="A14" t="s">
        <v>15</v>
      </c>
      <c r="B14" t="s">
        <v>16</v>
      </c>
      <c r="C14" s="6">
        <v>9</v>
      </c>
    </row>
    <row r="15" spans="1:10" x14ac:dyDescent="0.3">
      <c r="A15" t="s">
        <v>15</v>
      </c>
      <c r="B15" t="s">
        <v>7</v>
      </c>
      <c r="C15" s="6">
        <v>27</v>
      </c>
    </row>
    <row r="16" spans="1:10" x14ac:dyDescent="0.3">
      <c r="A16" t="s">
        <v>15</v>
      </c>
      <c r="B16" t="s">
        <v>6</v>
      </c>
      <c r="C16" s="6">
        <v>24</v>
      </c>
    </row>
    <row r="17" spans="1:3" x14ac:dyDescent="0.3">
      <c r="A17" t="s">
        <v>15</v>
      </c>
      <c r="B17" t="s">
        <v>10</v>
      </c>
      <c r="C17" s="6">
        <v>1</v>
      </c>
    </row>
    <row r="18" spans="1:3" x14ac:dyDescent="0.3">
      <c r="A18" t="s">
        <v>15</v>
      </c>
      <c r="B18" t="s">
        <v>4</v>
      </c>
      <c r="C18" s="6">
        <v>48</v>
      </c>
    </row>
    <row r="19" spans="1:3" x14ac:dyDescent="0.3">
      <c r="A19" t="s">
        <v>17</v>
      </c>
      <c r="B19" t="s">
        <v>10</v>
      </c>
      <c r="C19" s="6">
        <v>1</v>
      </c>
    </row>
    <row r="20" spans="1:3" x14ac:dyDescent="0.3">
      <c r="A20" t="s">
        <v>18</v>
      </c>
      <c r="B20" t="s">
        <v>4</v>
      </c>
      <c r="C20" s="6">
        <v>6</v>
      </c>
    </row>
    <row r="21" spans="1:3" x14ac:dyDescent="0.3">
      <c r="A21" t="s">
        <v>18</v>
      </c>
      <c r="B21" t="s">
        <v>6</v>
      </c>
      <c r="C21" s="6">
        <v>5</v>
      </c>
    </row>
    <row r="22" spans="1:3" x14ac:dyDescent="0.3">
      <c r="A22" t="s">
        <v>18</v>
      </c>
      <c r="B22" t="s">
        <v>7</v>
      </c>
      <c r="C22" s="6">
        <v>2</v>
      </c>
    </row>
    <row r="23" spans="1:3" x14ac:dyDescent="0.3">
      <c r="A23" t="s">
        <v>18</v>
      </c>
      <c r="B23" t="s">
        <v>10</v>
      </c>
      <c r="C23" s="6">
        <v>15</v>
      </c>
    </row>
    <row r="24" spans="1:3" x14ac:dyDescent="0.3">
      <c r="A24" t="s">
        <v>18</v>
      </c>
      <c r="B24" t="s">
        <v>28</v>
      </c>
      <c r="C24" s="6">
        <v>7</v>
      </c>
    </row>
    <row r="25" spans="1:3" x14ac:dyDescent="0.3">
      <c r="A25" t="s">
        <v>19</v>
      </c>
      <c r="B25" t="s">
        <v>3</v>
      </c>
      <c r="C25" s="6">
        <v>20</v>
      </c>
    </row>
    <row r="26" spans="1:3" x14ac:dyDescent="0.3">
      <c r="A26" t="s">
        <v>19</v>
      </c>
      <c r="B26" t="s">
        <v>4</v>
      </c>
      <c r="C26" s="6">
        <v>1</v>
      </c>
    </row>
    <row r="27" spans="1:3" x14ac:dyDescent="0.3">
      <c r="A27" t="s">
        <v>19</v>
      </c>
      <c r="B27" t="s">
        <v>11</v>
      </c>
      <c r="C27" s="6">
        <v>1</v>
      </c>
    </row>
    <row r="28" spans="1:3" x14ac:dyDescent="0.3">
      <c r="A28" t="s">
        <v>19</v>
      </c>
      <c r="B28" t="s">
        <v>6</v>
      </c>
      <c r="C28" s="6">
        <v>3</v>
      </c>
    </row>
    <row r="29" spans="1:3" x14ac:dyDescent="0.3">
      <c r="A29" t="s">
        <v>19</v>
      </c>
      <c r="B29" t="s">
        <v>7</v>
      </c>
      <c r="C29" s="6">
        <v>1</v>
      </c>
    </row>
    <row r="30" spans="1:3" x14ac:dyDescent="0.3">
      <c r="A30" t="s">
        <v>19</v>
      </c>
      <c r="B30" t="s">
        <v>20</v>
      </c>
      <c r="C30" s="6">
        <v>8</v>
      </c>
    </row>
    <row r="31" spans="1:3" x14ac:dyDescent="0.3">
      <c r="A31" t="s">
        <v>19</v>
      </c>
      <c r="B31" t="s">
        <v>21</v>
      </c>
      <c r="C31" s="6">
        <v>4</v>
      </c>
    </row>
    <row r="32" spans="1:3" x14ac:dyDescent="0.3">
      <c r="A32" t="s">
        <v>19</v>
      </c>
      <c r="B32" t="s">
        <v>22</v>
      </c>
      <c r="C32" s="6">
        <v>46</v>
      </c>
    </row>
    <row r="33" spans="1:3" x14ac:dyDescent="0.3">
      <c r="A33" t="s">
        <v>19</v>
      </c>
      <c r="B33" t="s">
        <v>23</v>
      </c>
      <c r="C33" s="6">
        <v>1</v>
      </c>
    </row>
    <row r="34" spans="1:3" x14ac:dyDescent="0.3">
      <c r="A34" t="s">
        <v>24</v>
      </c>
      <c r="B34" t="s">
        <v>22</v>
      </c>
      <c r="C34" s="6">
        <v>1</v>
      </c>
    </row>
    <row r="35" spans="1:3" x14ac:dyDescent="0.3">
      <c r="A35" t="s">
        <v>24</v>
      </c>
      <c r="B35" t="s">
        <v>10</v>
      </c>
      <c r="C35" s="6">
        <v>1</v>
      </c>
    </row>
    <row r="36" spans="1:3" x14ac:dyDescent="0.3">
      <c r="A36" t="s">
        <v>24</v>
      </c>
      <c r="B36" t="s">
        <v>7</v>
      </c>
      <c r="C36" s="6">
        <v>1</v>
      </c>
    </row>
    <row r="37" spans="1:3" x14ac:dyDescent="0.3">
      <c r="A37" t="s">
        <v>24</v>
      </c>
      <c r="B37" t="s">
        <v>4</v>
      </c>
      <c r="C37" s="6">
        <v>2</v>
      </c>
    </row>
    <row r="38" spans="1:3" x14ac:dyDescent="0.3">
      <c r="A38" t="s">
        <v>25</v>
      </c>
      <c r="B38" t="s">
        <v>6</v>
      </c>
      <c r="C38" s="6">
        <v>1</v>
      </c>
    </row>
    <row r="39" spans="1:3" x14ac:dyDescent="0.3">
      <c r="A39" t="s">
        <v>25</v>
      </c>
      <c r="B39" t="s">
        <v>16</v>
      </c>
      <c r="C39" s="6">
        <v>1</v>
      </c>
    </row>
    <row r="40" spans="1:3" x14ac:dyDescent="0.3">
      <c r="A40" t="s">
        <v>25</v>
      </c>
      <c r="B40" t="s">
        <v>10</v>
      </c>
      <c r="C40" s="6">
        <v>11</v>
      </c>
    </row>
    <row r="41" spans="1:3" x14ac:dyDescent="0.3">
      <c r="A41" t="s">
        <v>25</v>
      </c>
      <c r="B41" t="s">
        <v>7</v>
      </c>
      <c r="C41" s="6">
        <v>3</v>
      </c>
    </row>
    <row r="42" spans="1:3" x14ac:dyDescent="0.3">
      <c r="A42" t="s">
        <v>26</v>
      </c>
      <c r="B42" t="s">
        <v>6</v>
      </c>
      <c r="C42" s="6">
        <v>93</v>
      </c>
    </row>
    <row r="43" spans="1:3" x14ac:dyDescent="0.3">
      <c r="A43" t="s">
        <v>26</v>
      </c>
      <c r="B43" t="s">
        <v>13</v>
      </c>
      <c r="C43" s="6">
        <v>248</v>
      </c>
    </row>
    <row r="44" spans="1:3" x14ac:dyDescent="0.3">
      <c r="A44" t="s">
        <v>26</v>
      </c>
      <c r="B44" t="s">
        <v>27</v>
      </c>
      <c r="C44" s="6">
        <v>379</v>
      </c>
    </row>
    <row r="45" spans="1:3" x14ac:dyDescent="0.3">
      <c r="A45" t="s">
        <v>26</v>
      </c>
      <c r="B45" t="s">
        <v>7</v>
      </c>
      <c r="C45" s="6">
        <v>53</v>
      </c>
    </row>
    <row r="46" spans="1:3" x14ac:dyDescent="0.3">
      <c r="A46" t="s">
        <v>26</v>
      </c>
      <c r="B46" t="s">
        <v>10</v>
      </c>
      <c r="C46" s="6">
        <v>32</v>
      </c>
    </row>
    <row r="47" spans="1:3" x14ac:dyDescent="0.3">
      <c r="A47" t="s">
        <v>26</v>
      </c>
      <c r="B47" t="s">
        <v>11</v>
      </c>
      <c r="C47" s="6">
        <v>98</v>
      </c>
    </row>
    <row r="48" spans="1:3" x14ac:dyDescent="0.3">
      <c r="A48" t="s">
        <v>26</v>
      </c>
      <c r="B48" t="s">
        <v>28</v>
      </c>
      <c r="C48" s="6">
        <v>276</v>
      </c>
    </row>
    <row r="49" spans="1:3" x14ac:dyDescent="0.3">
      <c r="A49" t="s">
        <v>26</v>
      </c>
      <c r="B49" t="s">
        <v>16</v>
      </c>
      <c r="C49" s="6">
        <v>5</v>
      </c>
    </row>
    <row r="50" spans="1:3" x14ac:dyDescent="0.3">
      <c r="A50" t="s">
        <v>26</v>
      </c>
      <c r="B50" t="s">
        <v>4</v>
      </c>
      <c r="C50" s="6">
        <v>37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3F30F-9A71-477E-A600-B6FA2330318C}">
  <dimension ref="A3:B16"/>
  <sheetViews>
    <sheetView workbookViewId="0">
      <selection activeCell="G7" sqref="G7"/>
    </sheetView>
  </sheetViews>
  <sheetFormatPr defaultRowHeight="14.4" x14ac:dyDescent="0.3"/>
  <cols>
    <col min="1" max="1" width="26.88671875" bestFit="1" customWidth="1"/>
    <col min="2" max="2" width="22.5546875" style="9" bestFit="1" customWidth="1"/>
  </cols>
  <sheetData>
    <row r="3" spans="1:2" x14ac:dyDescent="0.3">
      <c r="A3" s="7" t="s">
        <v>34</v>
      </c>
      <c r="B3" s="9" t="s">
        <v>36</v>
      </c>
    </row>
    <row r="4" spans="1:2" x14ac:dyDescent="0.3">
      <c r="A4" s="8" t="s">
        <v>26</v>
      </c>
      <c r="B4" s="9">
        <v>1221</v>
      </c>
    </row>
    <row r="5" spans="1:2" x14ac:dyDescent="0.3">
      <c r="A5" s="8" t="s">
        <v>15</v>
      </c>
      <c r="B5" s="9">
        <v>109</v>
      </c>
    </row>
    <row r="6" spans="1:2" x14ac:dyDescent="0.3">
      <c r="A6" s="8" t="s">
        <v>19</v>
      </c>
      <c r="B6" s="9">
        <v>85</v>
      </c>
    </row>
    <row r="7" spans="1:2" x14ac:dyDescent="0.3">
      <c r="A7" s="8" t="s">
        <v>12</v>
      </c>
      <c r="B7" s="9">
        <v>56</v>
      </c>
    </row>
    <row r="8" spans="1:2" x14ac:dyDescent="0.3">
      <c r="A8" s="8" t="s">
        <v>5</v>
      </c>
      <c r="B8" s="9">
        <v>45</v>
      </c>
    </row>
    <row r="9" spans="1:2" x14ac:dyDescent="0.3">
      <c r="A9" s="8" t="s">
        <v>18</v>
      </c>
      <c r="B9" s="9">
        <v>35</v>
      </c>
    </row>
    <row r="10" spans="1:2" x14ac:dyDescent="0.3">
      <c r="A10" s="8" t="s">
        <v>25</v>
      </c>
      <c r="B10" s="9">
        <v>16</v>
      </c>
    </row>
    <row r="11" spans="1:2" x14ac:dyDescent="0.3">
      <c r="A11" s="8" t="s">
        <v>9</v>
      </c>
      <c r="B11" s="9">
        <v>6</v>
      </c>
    </row>
    <row r="12" spans="1:2" x14ac:dyDescent="0.3">
      <c r="A12" s="8" t="s">
        <v>24</v>
      </c>
      <c r="B12" s="9">
        <v>5</v>
      </c>
    </row>
    <row r="13" spans="1:2" x14ac:dyDescent="0.3">
      <c r="A13" s="8" t="s">
        <v>8</v>
      </c>
      <c r="B13" s="9">
        <v>2</v>
      </c>
    </row>
    <row r="14" spans="1:2" x14ac:dyDescent="0.3">
      <c r="A14" s="8" t="s">
        <v>14</v>
      </c>
      <c r="B14" s="9">
        <v>1</v>
      </c>
    </row>
    <row r="15" spans="1:2" x14ac:dyDescent="0.3">
      <c r="A15" s="8" t="s">
        <v>17</v>
      </c>
      <c r="B15" s="9">
        <v>1</v>
      </c>
    </row>
    <row r="16" spans="1:2" x14ac:dyDescent="0.3">
      <c r="A16" s="8" t="s">
        <v>35</v>
      </c>
      <c r="B16" s="9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38904-7B28-4123-8327-E914B25D68DF}">
  <dimension ref="A3:B25"/>
  <sheetViews>
    <sheetView workbookViewId="0">
      <selection activeCell="H15" sqref="H15"/>
    </sheetView>
  </sheetViews>
  <sheetFormatPr defaultRowHeight="14.4" x14ac:dyDescent="0.3"/>
  <cols>
    <col min="1" max="1" width="30.109375" bestFit="1" customWidth="1"/>
    <col min="2" max="2" width="22.5546875" bestFit="1" customWidth="1"/>
  </cols>
  <sheetData>
    <row r="3" spans="1:2" x14ac:dyDescent="0.3">
      <c r="A3" s="7" t="s">
        <v>34</v>
      </c>
      <c r="B3" t="s">
        <v>36</v>
      </c>
    </row>
    <row r="4" spans="1:2" x14ac:dyDescent="0.3">
      <c r="A4" s="8" t="s">
        <v>26</v>
      </c>
      <c r="B4" s="9">
        <v>1221</v>
      </c>
    </row>
    <row r="5" spans="1:2" x14ac:dyDescent="0.3">
      <c r="A5" s="10" t="s">
        <v>16</v>
      </c>
      <c r="B5" s="9">
        <v>5</v>
      </c>
    </row>
    <row r="6" spans="1:2" x14ac:dyDescent="0.3">
      <c r="A6" s="10" t="s">
        <v>13</v>
      </c>
      <c r="B6" s="9">
        <v>248</v>
      </c>
    </row>
    <row r="7" spans="1:2" x14ac:dyDescent="0.3">
      <c r="A7" s="10" t="s">
        <v>11</v>
      </c>
      <c r="B7" s="9">
        <v>98</v>
      </c>
    </row>
    <row r="8" spans="1:2" x14ac:dyDescent="0.3">
      <c r="A8" s="10" t="s">
        <v>28</v>
      </c>
      <c r="B8" s="9">
        <v>276</v>
      </c>
    </row>
    <row r="9" spans="1:2" x14ac:dyDescent="0.3">
      <c r="A9" s="10" t="s">
        <v>6</v>
      </c>
      <c r="B9" s="9">
        <v>93</v>
      </c>
    </row>
    <row r="10" spans="1:2" x14ac:dyDescent="0.3">
      <c r="A10" s="10" t="s">
        <v>4</v>
      </c>
      <c r="B10" s="9">
        <v>37</v>
      </c>
    </row>
    <row r="11" spans="1:2" x14ac:dyDescent="0.3">
      <c r="A11" s="10" t="s">
        <v>7</v>
      </c>
      <c r="B11" s="9">
        <v>53</v>
      </c>
    </row>
    <row r="12" spans="1:2" x14ac:dyDescent="0.3">
      <c r="A12" s="10" t="s">
        <v>27</v>
      </c>
      <c r="B12" s="9">
        <v>379</v>
      </c>
    </row>
    <row r="13" spans="1:2" x14ac:dyDescent="0.3">
      <c r="A13" s="10" t="s">
        <v>10</v>
      </c>
      <c r="B13" s="9">
        <v>32</v>
      </c>
    </row>
    <row r="14" spans="1:2" x14ac:dyDescent="0.3">
      <c r="A14" s="8" t="s">
        <v>25</v>
      </c>
      <c r="B14" s="9">
        <v>16</v>
      </c>
    </row>
    <row r="15" spans="1:2" x14ac:dyDescent="0.3">
      <c r="A15" s="8" t="s">
        <v>24</v>
      </c>
      <c r="B15" s="9">
        <v>5</v>
      </c>
    </row>
    <row r="16" spans="1:2" x14ac:dyDescent="0.3">
      <c r="A16" s="8" t="s">
        <v>19</v>
      </c>
      <c r="B16" s="9">
        <v>85</v>
      </c>
    </row>
    <row r="17" spans="1:2" x14ac:dyDescent="0.3">
      <c r="A17" s="8" t="s">
        <v>18</v>
      </c>
      <c r="B17" s="9">
        <v>35</v>
      </c>
    </row>
    <row r="18" spans="1:2" x14ac:dyDescent="0.3">
      <c r="A18" s="8" t="s">
        <v>17</v>
      </c>
      <c r="B18" s="9">
        <v>1</v>
      </c>
    </row>
    <row r="19" spans="1:2" x14ac:dyDescent="0.3">
      <c r="A19" s="8" t="s">
        <v>15</v>
      </c>
      <c r="B19" s="9">
        <v>109</v>
      </c>
    </row>
    <row r="20" spans="1:2" x14ac:dyDescent="0.3">
      <c r="A20" s="8" t="s">
        <v>14</v>
      </c>
      <c r="B20" s="9">
        <v>1</v>
      </c>
    </row>
    <row r="21" spans="1:2" x14ac:dyDescent="0.3">
      <c r="A21" s="8" t="s">
        <v>12</v>
      </c>
      <c r="B21" s="9">
        <v>56</v>
      </c>
    </row>
    <row r="22" spans="1:2" x14ac:dyDescent="0.3">
      <c r="A22" s="8" t="s">
        <v>9</v>
      </c>
      <c r="B22" s="9">
        <v>6</v>
      </c>
    </row>
    <row r="23" spans="1:2" x14ac:dyDescent="0.3">
      <c r="A23" s="8" t="s">
        <v>8</v>
      </c>
      <c r="B23" s="9">
        <v>2</v>
      </c>
    </row>
    <row r="24" spans="1:2" x14ac:dyDescent="0.3">
      <c r="A24" s="8" t="s">
        <v>5</v>
      </c>
      <c r="B24" s="9">
        <v>45</v>
      </c>
    </row>
    <row r="25" spans="1:2" x14ac:dyDescent="0.3">
      <c r="A25" s="8" t="s">
        <v>35</v>
      </c>
      <c r="B25" s="9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F10E9-2CD9-407B-A762-A68A198E2681}">
  <dimension ref="A3:B21"/>
  <sheetViews>
    <sheetView workbookViewId="0">
      <selection activeCell="D15" sqref="D15"/>
    </sheetView>
  </sheetViews>
  <sheetFormatPr defaultRowHeight="14.4" x14ac:dyDescent="0.3"/>
  <cols>
    <col min="1" max="1" width="27" bestFit="1" customWidth="1"/>
    <col min="2" max="2" width="22.5546875" bestFit="1" customWidth="1"/>
  </cols>
  <sheetData>
    <row r="3" spans="1:2" x14ac:dyDescent="0.3">
      <c r="A3" s="7" t="s">
        <v>34</v>
      </c>
      <c r="B3" t="s">
        <v>36</v>
      </c>
    </row>
    <row r="4" spans="1:2" x14ac:dyDescent="0.3">
      <c r="A4" s="8" t="s">
        <v>16</v>
      </c>
      <c r="B4" s="9">
        <v>15</v>
      </c>
    </row>
    <row r="5" spans="1:2" x14ac:dyDescent="0.3">
      <c r="A5" s="10" t="s">
        <v>15</v>
      </c>
      <c r="B5" s="9">
        <v>9</v>
      </c>
    </row>
    <row r="6" spans="1:2" x14ac:dyDescent="0.3">
      <c r="A6" s="10" t="s">
        <v>25</v>
      </c>
      <c r="B6" s="9">
        <v>1</v>
      </c>
    </row>
    <row r="7" spans="1:2" x14ac:dyDescent="0.3">
      <c r="A7" s="10" t="s">
        <v>26</v>
      </c>
      <c r="B7" s="9">
        <v>5</v>
      </c>
    </row>
    <row r="8" spans="1:2" x14ac:dyDescent="0.3">
      <c r="A8" s="8" t="s">
        <v>13</v>
      </c>
      <c r="B8" s="9">
        <v>290</v>
      </c>
    </row>
    <row r="9" spans="1:2" x14ac:dyDescent="0.3">
      <c r="A9" s="8" t="s">
        <v>11</v>
      </c>
      <c r="B9" s="9">
        <v>100</v>
      </c>
    </row>
    <row r="10" spans="1:2" x14ac:dyDescent="0.3">
      <c r="A10" s="8" t="s">
        <v>28</v>
      </c>
      <c r="B10" s="9">
        <v>283</v>
      </c>
    </row>
    <row r="11" spans="1:2" x14ac:dyDescent="0.3">
      <c r="A11" s="8" t="s">
        <v>6</v>
      </c>
      <c r="B11" s="9">
        <v>150</v>
      </c>
    </row>
    <row r="12" spans="1:2" x14ac:dyDescent="0.3">
      <c r="A12" s="8" t="s">
        <v>21</v>
      </c>
      <c r="B12" s="9">
        <v>4</v>
      </c>
    </row>
    <row r="13" spans="1:2" x14ac:dyDescent="0.3">
      <c r="A13" s="8" t="s">
        <v>23</v>
      </c>
      <c r="B13" s="9">
        <v>1</v>
      </c>
    </row>
    <row r="14" spans="1:2" x14ac:dyDescent="0.3">
      <c r="A14" s="8" t="s">
        <v>22</v>
      </c>
      <c r="B14" s="9">
        <v>47</v>
      </c>
    </row>
    <row r="15" spans="1:2" x14ac:dyDescent="0.3">
      <c r="A15" s="8" t="s">
        <v>3</v>
      </c>
      <c r="B15" s="9">
        <v>20</v>
      </c>
    </row>
    <row r="16" spans="1:2" x14ac:dyDescent="0.3">
      <c r="A16" s="8" t="s">
        <v>20</v>
      </c>
      <c r="B16" s="9">
        <v>8</v>
      </c>
    </row>
    <row r="17" spans="1:2" x14ac:dyDescent="0.3">
      <c r="A17" s="8" t="s">
        <v>4</v>
      </c>
      <c r="B17" s="9">
        <v>130</v>
      </c>
    </row>
    <row r="18" spans="1:2" x14ac:dyDescent="0.3">
      <c r="A18" s="8" t="s">
        <v>7</v>
      </c>
      <c r="B18" s="9">
        <v>90</v>
      </c>
    </row>
    <row r="19" spans="1:2" x14ac:dyDescent="0.3">
      <c r="A19" s="8" t="s">
        <v>27</v>
      </c>
      <c r="B19" s="9">
        <v>379</v>
      </c>
    </row>
    <row r="20" spans="1:2" x14ac:dyDescent="0.3">
      <c r="A20" s="8" t="s">
        <v>10</v>
      </c>
      <c r="B20" s="9">
        <v>65</v>
      </c>
    </row>
    <row r="21" spans="1:2" x14ac:dyDescent="0.3">
      <c r="A21" s="8" t="s">
        <v>35</v>
      </c>
      <c r="B21" s="9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Montgomery_Fleet_Equipment_Inve</vt:lpstr>
      <vt:lpstr>Pivot_Table</vt:lpstr>
      <vt:lpstr>Pivot_Table_2</vt:lpstr>
      <vt:lpstr>Pivot_Table_3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Kubilay</dc:creator>
  <cp:lastModifiedBy>Kubilay</cp:lastModifiedBy>
  <dcterms:created xsi:type="dcterms:W3CDTF">2020-09-01T17:18:12Z</dcterms:created>
  <dcterms:modified xsi:type="dcterms:W3CDTF">2024-09-17T12:57:40Z</dcterms:modified>
</cp:coreProperties>
</file>